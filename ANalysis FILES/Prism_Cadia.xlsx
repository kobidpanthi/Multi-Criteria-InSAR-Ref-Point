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panthik_student_unimelb_edu_au/Documents/PhD Research/Research Work/RO2/Reference Point Selection/04 Analysis in Windows/27.02.2026/ANalysis FILES/"/>
    </mc:Choice>
  </mc:AlternateContent>
  <xr:revisionPtr revIDLastSave="3" documentId="11_F8EEFB042F70610C49CD7B673C8BAAE0104E4F8C" xr6:coauthVersionLast="47" xr6:coauthVersionMax="47" xr10:uidLastSave="{B7AD8DDD-9C2E-4854-9601-23AC80E5DFD9}"/>
  <bookViews>
    <workbookView xWindow="25080" yWindow="-120" windowWidth="29040" windowHeight="15720" tabRatio="500" xr2:uid="{00000000-000D-0000-FFFF-FFFF00000000}"/>
  </bookViews>
  <sheets>
    <sheet name="m_raw" sheetId="1" r:id="rId1"/>
    <sheet name="m" sheetId="2" r:id="rId2"/>
    <sheet name="Sheet1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1" i="2" l="1"/>
  <c r="F30" i="2"/>
  <c r="F29" i="2"/>
</calcChain>
</file>

<file path=xl/sharedStrings.xml><?xml version="1.0" encoding="utf-8"?>
<sst xmlns="http://schemas.openxmlformats.org/spreadsheetml/2006/main" count="29" uniqueCount="19">
  <si>
    <t>Date</t>
  </si>
  <si>
    <t>P4 Perp</t>
  </si>
  <si>
    <t>P5 Perp</t>
  </si>
  <si>
    <t>P6 Perp</t>
  </si>
  <si>
    <t>P4 Ver</t>
  </si>
  <si>
    <t>P5 Ver</t>
  </si>
  <si>
    <t>P6 Ver</t>
  </si>
  <si>
    <t>P4 Par</t>
  </si>
  <si>
    <t>P5 Par</t>
  </si>
  <si>
    <t>P6 Par</t>
  </si>
  <si>
    <r>
      <rPr>
        <b/>
        <sz val="11"/>
        <color rgb="FF000000"/>
        <rFont val="Arial"/>
        <family val="2"/>
        <charset val="1"/>
      </rPr>
      <t>Incidence Angle (θ):</t>
    </r>
    <r>
      <rPr>
        <sz val="11"/>
        <color rgb="FF000000"/>
        <rFont val="Arial"/>
        <family val="2"/>
        <charset val="1"/>
      </rPr>
      <t xml:space="preserve"> </t>
    </r>
  </si>
  <si>
    <t>cosθ</t>
  </si>
  <si>
    <t>Heading Angle (α)</t>
  </si>
  <si>
    <t xml:space="preserve">Ascending </t>
  </si>
  <si>
    <t>sinθ⋅cosα</t>
  </si>
  <si>
    <t>Wavelength (λ)</t>
  </si>
  <si>
    <t>m</t>
  </si>
  <si>
    <t>sinθ⋅sinα</t>
  </si>
  <si>
    <t>dLOS​=(du​⋅cosθ)−(de​⋅sinθ⋅cosα)+(dn​⋅sinθ⋅sinα)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</si>
</sst>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dd/mm/yy"/>
  </numFmts>
  <fonts count="2" x14ac:knownFonts="1"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 wrapText="1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FBFBF"/>
      <rgbColor rgb="FF889E89"/>
      <rgbColor rgb="FF9999FF"/>
      <rgbColor rgb="FF993366"/>
      <rgbColor rgb="FFFFFFCC"/>
      <rgbColor rgb="FFCCFFFF"/>
      <rgbColor rgb="FF660066"/>
      <rgbColor rgb="FFCF642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EA18B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889AA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AU" sz="1400" b="0" strike="noStrike" spc="-1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m!$D$1</c:f>
              <c:strCache>
                <c:ptCount val="1"/>
                <c:pt idx="0">
                  <c:v>P6 Perp</c:v>
                </c:pt>
              </c:strCache>
            </c:strRef>
          </c:tx>
          <c:spPr>
            <a:ln w="38160">
              <a:solidFill>
                <a:srgbClr val="889AAA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m!$A$2:$A$21</c:f>
              <c:numCache>
                <c:formatCode>m/d/yyyy</c:formatCode>
                <c:ptCount val="20"/>
                <c:pt idx="0">
                  <c:v>41569</c:v>
                </c:pt>
                <c:pt idx="1">
                  <c:v>41581</c:v>
                </c:pt>
                <c:pt idx="2">
                  <c:v>41649</c:v>
                </c:pt>
                <c:pt idx="3">
                  <c:v>41722</c:v>
                </c:pt>
                <c:pt idx="4">
                  <c:v>41771</c:v>
                </c:pt>
                <c:pt idx="5">
                  <c:v>41843</c:v>
                </c:pt>
                <c:pt idx="6">
                  <c:v>41911</c:v>
                </c:pt>
                <c:pt idx="7">
                  <c:v>41984</c:v>
                </c:pt>
                <c:pt idx="8">
                  <c:v>42075</c:v>
                </c:pt>
                <c:pt idx="9">
                  <c:v>42215</c:v>
                </c:pt>
                <c:pt idx="10">
                  <c:v>42339</c:v>
                </c:pt>
                <c:pt idx="11">
                  <c:v>42462</c:v>
                </c:pt>
                <c:pt idx="12">
                  <c:v>42558</c:v>
                </c:pt>
                <c:pt idx="13">
                  <c:v>42649</c:v>
                </c:pt>
                <c:pt idx="14">
                  <c:v>42754</c:v>
                </c:pt>
                <c:pt idx="15">
                  <c:v>42837</c:v>
                </c:pt>
                <c:pt idx="16">
                  <c:v>42911</c:v>
                </c:pt>
                <c:pt idx="17">
                  <c:v>42969</c:v>
                </c:pt>
                <c:pt idx="18">
                  <c:v>43001</c:v>
                </c:pt>
                <c:pt idx="19">
                  <c:v>43056</c:v>
                </c:pt>
              </c:numCache>
            </c:numRef>
          </c:xVal>
          <c:yVal>
            <c:numRef>
              <c:f>m!$D$2:$D$21</c:f>
              <c:numCache>
                <c:formatCode>0.0000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5.1302083333333304E-3</c:v>
                </c:pt>
                <c:pt idx="3">
                  <c:v>7.9947916666666605E-3</c:v>
                </c:pt>
                <c:pt idx="4">
                  <c:v>1.05729166666666E-2</c:v>
                </c:pt>
                <c:pt idx="5">
                  <c:v>1.4583333333333301E-2</c:v>
                </c:pt>
                <c:pt idx="6">
                  <c:v>2.0598958333333299E-2</c:v>
                </c:pt>
                <c:pt idx="7">
                  <c:v>2.6328125000000001E-2</c:v>
                </c:pt>
                <c:pt idx="8">
                  <c:v>3.4921874999999901E-2</c:v>
                </c:pt>
                <c:pt idx="9">
                  <c:v>3.8932291666666598E-2</c:v>
                </c:pt>
                <c:pt idx="10">
                  <c:v>4.92447916666666E-2</c:v>
                </c:pt>
                <c:pt idx="11">
                  <c:v>6.12760416666666E-2</c:v>
                </c:pt>
                <c:pt idx="12">
                  <c:v>6.9010416666666602E-2</c:v>
                </c:pt>
                <c:pt idx="13">
                  <c:v>7.1874999999999994E-2</c:v>
                </c:pt>
                <c:pt idx="14">
                  <c:v>8.1041666666666595E-2</c:v>
                </c:pt>
                <c:pt idx="15">
                  <c:v>8.5338541666666601E-2</c:v>
                </c:pt>
                <c:pt idx="16">
                  <c:v>8.7916666666666601E-2</c:v>
                </c:pt>
                <c:pt idx="17">
                  <c:v>9.5364583333333294E-2</c:v>
                </c:pt>
                <c:pt idx="18">
                  <c:v>9.1927083333333298E-2</c:v>
                </c:pt>
                <c:pt idx="19">
                  <c:v>9.96614583333333E-2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5-4CF2-811A-E0FEFCB21B2D}"/>
            </c:ext>
          </c:extLst>
        </c:ser>
        <c:ser>
          <c:idx val="1"/>
          <c:order val="1"/>
          <c:tx>
            <c:strRef>
              <c:f>m!$C$1</c:f>
              <c:strCache>
                <c:ptCount val="1"/>
                <c:pt idx="0">
                  <c:v>P5 Perp</c:v>
                </c:pt>
              </c:strCache>
            </c:strRef>
          </c:tx>
          <c:spPr>
            <a:ln w="38160">
              <a:solidFill>
                <a:srgbClr val="EEA18B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m!$A$2:$A$21</c:f>
              <c:numCache>
                <c:formatCode>m/d/yyyy</c:formatCode>
                <c:ptCount val="20"/>
                <c:pt idx="0">
                  <c:v>41569</c:v>
                </c:pt>
                <c:pt idx="1">
                  <c:v>41581</c:v>
                </c:pt>
                <c:pt idx="2">
                  <c:v>41649</c:v>
                </c:pt>
                <c:pt idx="3">
                  <c:v>41722</c:v>
                </c:pt>
                <c:pt idx="4">
                  <c:v>41771</c:v>
                </c:pt>
                <c:pt idx="5">
                  <c:v>41843</c:v>
                </c:pt>
                <c:pt idx="6">
                  <c:v>41911</c:v>
                </c:pt>
                <c:pt idx="7">
                  <c:v>41984</c:v>
                </c:pt>
                <c:pt idx="8">
                  <c:v>42075</c:v>
                </c:pt>
                <c:pt idx="9">
                  <c:v>42215</c:v>
                </c:pt>
                <c:pt idx="10">
                  <c:v>42339</c:v>
                </c:pt>
                <c:pt idx="11">
                  <c:v>42462</c:v>
                </c:pt>
                <c:pt idx="12">
                  <c:v>42558</c:v>
                </c:pt>
                <c:pt idx="13">
                  <c:v>42649</c:v>
                </c:pt>
                <c:pt idx="14">
                  <c:v>42754</c:v>
                </c:pt>
                <c:pt idx="15">
                  <c:v>42837</c:v>
                </c:pt>
                <c:pt idx="16">
                  <c:v>42911</c:v>
                </c:pt>
                <c:pt idx="17">
                  <c:v>42969</c:v>
                </c:pt>
                <c:pt idx="18">
                  <c:v>43001</c:v>
                </c:pt>
                <c:pt idx="19">
                  <c:v>43056</c:v>
                </c:pt>
              </c:numCache>
            </c:numRef>
          </c:xVal>
          <c:yVal>
            <c:numRef>
              <c:f>m!$E$2:$E$21</c:f>
              <c:numCache>
                <c:formatCode>0.0000</c:formatCode>
                <c:ptCount val="20"/>
                <c:pt idx="0">
                  <c:v>0</c:v>
                </c:pt>
                <c:pt idx="1">
                  <c:v>1.40624999999999E-3</c:v>
                </c:pt>
                <c:pt idx="2">
                  <c:v>1.40624999999999E-3</c:v>
                </c:pt>
                <c:pt idx="3">
                  <c:v>2.2656249999999899E-3</c:v>
                </c:pt>
                <c:pt idx="4">
                  <c:v>-7.7604166666666698E-3</c:v>
                </c:pt>
                <c:pt idx="5">
                  <c:v>1.9791666666666499E-3</c:v>
                </c:pt>
                <c:pt idx="6">
                  <c:v>1.6927083333333299E-3</c:v>
                </c:pt>
                <c:pt idx="7">
                  <c:v>-3.12500000000007E-4</c:v>
                </c:pt>
                <c:pt idx="8">
                  <c:v>2.5520833333333298E-3</c:v>
                </c:pt>
                <c:pt idx="9">
                  <c:v>-5.9895833333334304E-4</c:v>
                </c:pt>
                <c:pt idx="10">
                  <c:v>-1.8932291666666601E-2</c:v>
                </c:pt>
                <c:pt idx="11">
                  <c:v>-1.17708333333333E-2</c:v>
                </c:pt>
                <c:pt idx="12">
                  <c:v>-1.43489583333333E-2</c:v>
                </c:pt>
                <c:pt idx="13">
                  <c:v>-2.2083333333333299E-2</c:v>
                </c:pt>
                <c:pt idx="14">
                  <c:v>-2.6666666666666599E-2</c:v>
                </c:pt>
                <c:pt idx="15">
                  <c:v>-3.1536458333333302E-2</c:v>
                </c:pt>
                <c:pt idx="16">
                  <c:v>-3.125E-2</c:v>
                </c:pt>
                <c:pt idx="17">
                  <c:v>-2.6953125000000001E-2</c:v>
                </c:pt>
                <c:pt idx="18">
                  <c:v>-3.7265624999999997E-2</c:v>
                </c:pt>
                <c:pt idx="19">
                  <c:v>-3.0390625000000001E-2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5-4CF2-811A-E0FEFCB21B2D}"/>
            </c:ext>
          </c:extLst>
        </c:ser>
        <c:ser>
          <c:idx val="2"/>
          <c:order val="2"/>
          <c:tx>
            <c:strRef>
              <c:f>m!$B$1</c:f>
              <c:strCache>
                <c:ptCount val="1"/>
                <c:pt idx="0">
                  <c:v>P4 Perp</c:v>
                </c:pt>
              </c:strCache>
            </c:strRef>
          </c:tx>
          <c:spPr>
            <a:ln w="38160">
              <a:solidFill>
                <a:srgbClr val="889E89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m!$A$2:$A$21</c:f>
              <c:numCache>
                <c:formatCode>m/d/yyyy</c:formatCode>
                <c:ptCount val="20"/>
                <c:pt idx="0">
                  <c:v>41569</c:v>
                </c:pt>
                <c:pt idx="1">
                  <c:v>41581</c:v>
                </c:pt>
                <c:pt idx="2">
                  <c:v>41649</c:v>
                </c:pt>
                <c:pt idx="3">
                  <c:v>41722</c:v>
                </c:pt>
                <c:pt idx="4">
                  <c:v>41771</c:v>
                </c:pt>
                <c:pt idx="5">
                  <c:v>41843</c:v>
                </c:pt>
                <c:pt idx="6">
                  <c:v>41911</c:v>
                </c:pt>
                <c:pt idx="7">
                  <c:v>41984</c:v>
                </c:pt>
                <c:pt idx="8">
                  <c:v>42075</c:v>
                </c:pt>
                <c:pt idx="9">
                  <c:v>42215</c:v>
                </c:pt>
                <c:pt idx="10">
                  <c:v>42339</c:v>
                </c:pt>
                <c:pt idx="11">
                  <c:v>42462</c:v>
                </c:pt>
                <c:pt idx="12">
                  <c:v>42558</c:v>
                </c:pt>
                <c:pt idx="13">
                  <c:v>42649</c:v>
                </c:pt>
                <c:pt idx="14">
                  <c:v>42754</c:v>
                </c:pt>
                <c:pt idx="15">
                  <c:v>42837</c:v>
                </c:pt>
                <c:pt idx="16">
                  <c:v>42911</c:v>
                </c:pt>
                <c:pt idx="17">
                  <c:v>42969</c:v>
                </c:pt>
                <c:pt idx="18">
                  <c:v>43001</c:v>
                </c:pt>
                <c:pt idx="19">
                  <c:v>43056</c:v>
                </c:pt>
              </c:numCache>
            </c:numRef>
          </c:xVal>
          <c:yVal>
            <c:numRef>
              <c:f>m!$B$2:$B$21</c:f>
              <c:numCache>
                <c:formatCode>0.0000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5.1302083333333304E-3</c:v>
                </c:pt>
                <c:pt idx="3">
                  <c:v>7.9947916666666605E-3</c:v>
                </c:pt>
                <c:pt idx="4">
                  <c:v>8.8083333333333295E-3</c:v>
                </c:pt>
                <c:pt idx="5">
                  <c:v>1.38645833333333E-2</c:v>
                </c:pt>
                <c:pt idx="6">
                  <c:v>1.87343749999999E-2</c:v>
                </c:pt>
                <c:pt idx="7">
                  <c:v>2.3317708333333301E-2</c:v>
                </c:pt>
                <c:pt idx="8">
                  <c:v>2.8614583333333301E-2</c:v>
                </c:pt>
                <c:pt idx="9">
                  <c:v>2.9046875E-2</c:v>
                </c:pt>
                <c:pt idx="10">
                  <c:v>3.4776041666666598E-2</c:v>
                </c:pt>
                <c:pt idx="11">
                  <c:v>4.72395833333333E-2</c:v>
                </c:pt>
                <c:pt idx="12">
                  <c:v>5.1536458333333299E-2</c:v>
                </c:pt>
                <c:pt idx="13">
                  <c:v>5.5833333333333297E-2</c:v>
                </c:pt>
                <c:pt idx="14">
                  <c:v>6.1562499999999902E-2</c:v>
                </c:pt>
                <c:pt idx="15">
                  <c:v>6.7005208333333302E-2</c:v>
                </c:pt>
                <c:pt idx="16">
                  <c:v>6.9869791666666597E-2</c:v>
                </c:pt>
                <c:pt idx="17">
                  <c:v>7.4453124999999995E-2</c:v>
                </c:pt>
                <c:pt idx="18">
                  <c:v>7.3020833333333299E-2</c:v>
                </c:pt>
                <c:pt idx="19">
                  <c:v>7.5598958333333299E-2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85-4CF2-811A-E0FEFCB21B2D}"/>
            </c:ext>
          </c:extLst>
        </c:ser>
        <c:ser>
          <c:idx val="3"/>
          <c:order val="3"/>
          <c:tx>
            <c:strRef>
              <c:f>m!$F$1</c:f>
              <c:strCache>
                <c:ptCount val="1"/>
                <c:pt idx="0">
                  <c:v>P5 Ver</c:v>
                </c:pt>
              </c:strCache>
            </c:strRef>
          </c:tx>
          <c:spPr>
            <a:ln w="19080" cap="rnd">
              <a:solidFill>
                <a:srgbClr val="156082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m!$A$2:$A$21</c:f>
              <c:numCache>
                <c:formatCode>m/d/yyyy</c:formatCode>
                <c:ptCount val="20"/>
                <c:pt idx="0">
                  <c:v>41569</c:v>
                </c:pt>
                <c:pt idx="1">
                  <c:v>41581</c:v>
                </c:pt>
                <c:pt idx="2">
                  <c:v>41649</c:v>
                </c:pt>
                <c:pt idx="3">
                  <c:v>41722</c:v>
                </c:pt>
                <c:pt idx="4">
                  <c:v>41771</c:v>
                </c:pt>
                <c:pt idx="5">
                  <c:v>41843</c:v>
                </c:pt>
                <c:pt idx="6">
                  <c:v>41911</c:v>
                </c:pt>
                <c:pt idx="7">
                  <c:v>41984</c:v>
                </c:pt>
                <c:pt idx="8">
                  <c:v>42075</c:v>
                </c:pt>
                <c:pt idx="9">
                  <c:v>42215</c:v>
                </c:pt>
                <c:pt idx="10">
                  <c:v>42339</c:v>
                </c:pt>
                <c:pt idx="11">
                  <c:v>42462</c:v>
                </c:pt>
                <c:pt idx="12">
                  <c:v>42558</c:v>
                </c:pt>
                <c:pt idx="13">
                  <c:v>42649</c:v>
                </c:pt>
                <c:pt idx="14">
                  <c:v>42754</c:v>
                </c:pt>
                <c:pt idx="15">
                  <c:v>42837</c:v>
                </c:pt>
                <c:pt idx="16">
                  <c:v>42911</c:v>
                </c:pt>
                <c:pt idx="17">
                  <c:v>42969</c:v>
                </c:pt>
                <c:pt idx="18">
                  <c:v>43001</c:v>
                </c:pt>
                <c:pt idx="19">
                  <c:v>43056</c:v>
                </c:pt>
              </c:numCache>
            </c:numRef>
          </c:xVal>
          <c:yVal>
            <c:numRef>
              <c:f>m!$F$2:$F$21</c:f>
              <c:numCache>
                <c:formatCode>0.0000</c:formatCode>
                <c:ptCount val="20"/>
                <c:pt idx="0">
                  <c:v>0</c:v>
                </c:pt>
                <c:pt idx="1">
                  <c:v>-1.5494791666666599E-2</c:v>
                </c:pt>
                <c:pt idx="2">
                  <c:v>-4.8958333333333302E-3</c:v>
                </c:pt>
                <c:pt idx="3">
                  <c:v>-1.43489583333333E-2</c:v>
                </c:pt>
                <c:pt idx="4">
                  <c:v>-1.7500000000000002E-2</c:v>
                </c:pt>
                <c:pt idx="5">
                  <c:v>-1.9505208333333302E-2</c:v>
                </c:pt>
                <c:pt idx="6">
                  <c:v>-1.77864583333333E-2</c:v>
                </c:pt>
                <c:pt idx="7">
                  <c:v>-2.0937500000000001E-2</c:v>
                </c:pt>
                <c:pt idx="8">
                  <c:v>-2.58072916666666E-2</c:v>
                </c:pt>
                <c:pt idx="9">
                  <c:v>-3.32552083333333E-2</c:v>
                </c:pt>
                <c:pt idx="10">
                  <c:v>-5.1874999999999998E-2</c:v>
                </c:pt>
                <c:pt idx="11">
                  <c:v>-4.5859375000000001E-2</c:v>
                </c:pt>
                <c:pt idx="12">
                  <c:v>-4.9869791666666601E-2</c:v>
                </c:pt>
                <c:pt idx="13">
                  <c:v>-6.5911458333333298E-2</c:v>
                </c:pt>
                <c:pt idx="14">
                  <c:v>-6.8489583333333298E-2</c:v>
                </c:pt>
                <c:pt idx="15">
                  <c:v>-6.8489583333333298E-2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85-4CF2-811A-E0FEFCB21B2D}"/>
            </c:ext>
          </c:extLst>
        </c:ser>
        <c:ser>
          <c:idx val="4"/>
          <c:order val="4"/>
          <c:tx>
            <c:strRef>
              <c:f>m!$G$1</c:f>
              <c:strCache>
                <c:ptCount val="1"/>
                <c:pt idx="0">
                  <c:v>P6 Ver</c:v>
                </c:pt>
              </c:strCache>
            </c:strRef>
          </c:tx>
          <c:spPr>
            <a:ln w="19080" cap="rnd">
              <a:solidFill>
                <a:srgbClr val="196B24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m!$A$2:$A$21</c:f>
              <c:numCache>
                <c:formatCode>m/d/yyyy</c:formatCode>
                <c:ptCount val="20"/>
                <c:pt idx="0">
                  <c:v>41569</c:v>
                </c:pt>
                <c:pt idx="1">
                  <c:v>41581</c:v>
                </c:pt>
                <c:pt idx="2">
                  <c:v>41649</c:v>
                </c:pt>
                <c:pt idx="3">
                  <c:v>41722</c:v>
                </c:pt>
                <c:pt idx="4">
                  <c:v>41771</c:v>
                </c:pt>
                <c:pt idx="5">
                  <c:v>41843</c:v>
                </c:pt>
                <c:pt idx="6">
                  <c:v>41911</c:v>
                </c:pt>
                <c:pt idx="7">
                  <c:v>41984</c:v>
                </c:pt>
                <c:pt idx="8">
                  <c:v>42075</c:v>
                </c:pt>
                <c:pt idx="9">
                  <c:v>42215</c:v>
                </c:pt>
                <c:pt idx="10">
                  <c:v>42339</c:v>
                </c:pt>
                <c:pt idx="11">
                  <c:v>42462</c:v>
                </c:pt>
                <c:pt idx="12">
                  <c:v>42558</c:v>
                </c:pt>
                <c:pt idx="13">
                  <c:v>42649</c:v>
                </c:pt>
                <c:pt idx="14">
                  <c:v>42754</c:v>
                </c:pt>
                <c:pt idx="15">
                  <c:v>42837</c:v>
                </c:pt>
                <c:pt idx="16">
                  <c:v>42911</c:v>
                </c:pt>
                <c:pt idx="17">
                  <c:v>42969</c:v>
                </c:pt>
                <c:pt idx="18">
                  <c:v>43001</c:v>
                </c:pt>
                <c:pt idx="19">
                  <c:v>43056</c:v>
                </c:pt>
              </c:numCache>
            </c:numRef>
          </c:xVal>
          <c:yVal>
            <c:numRef>
              <c:f>m!$G$2:$G$21</c:f>
              <c:numCache>
                <c:formatCode>0.0000</c:formatCode>
                <c:ptCount val="20"/>
                <c:pt idx="0">
                  <c:v>0</c:v>
                </c:pt>
                <c:pt idx="1">
                  <c:v>-9.4791666666666705E-3</c:v>
                </c:pt>
                <c:pt idx="2">
                  <c:v>0</c:v>
                </c:pt>
                <c:pt idx="3">
                  <c:v>-6.6145833333333404E-3</c:v>
                </c:pt>
                <c:pt idx="4">
                  <c:v>-9.4791666666666705E-3</c:v>
                </c:pt>
                <c:pt idx="5">
                  <c:v>-8.0468750000000002E-3</c:v>
                </c:pt>
                <c:pt idx="6">
                  <c:v>-8.9062499999999992E-3</c:v>
                </c:pt>
                <c:pt idx="7">
                  <c:v>-1.0625000000000001E-2</c:v>
                </c:pt>
                <c:pt idx="8">
                  <c:v>-1.2916666666666601E-2</c:v>
                </c:pt>
                <c:pt idx="9">
                  <c:v>-1.8932291666666601E-2</c:v>
                </c:pt>
                <c:pt idx="10">
                  <c:v>-3.6406250000000001E-2</c:v>
                </c:pt>
                <c:pt idx="11">
                  <c:v>-3.2682291666666599E-2</c:v>
                </c:pt>
                <c:pt idx="12">
                  <c:v>-3.58333333333333E-2</c:v>
                </c:pt>
                <c:pt idx="13">
                  <c:v>-4.7578124999999999E-2</c:v>
                </c:pt>
                <c:pt idx="14">
                  <c:v>-5.1302083333333297E-2</c:v>
                </c:pt>
                <c:pt idx="15">
                  <c:v>-5.6171875000000003E-2</c:v>
                </c:pt>
                <c:pt idx="16">
                  <c:v>-5.4453124999999998E-2</c:v>
                </c:pt>
                <c:pt idx="17">
                  <c:v>-5.3880208333333297E-2</c:v>
                </c:pt>
                <c:pt idx="18">
                  <c:v>-6.1328124999999997E-2</c:v>
                </c:pt>
                <c:pt idx="19">
                  <c:v>-6.1901041666666601E-2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85-4CF2-811A-E0FEFCB21B2D}"/>
            </c:ext>
          </c:extLst>
        </c:ser>
        <c:ser>
          <c:idx val="5"/>
          <c:order val="5"/>
          <c:tx>
            <c:strRef>
              <c:f>m!$I$1</c:f>
              <c:strCache>
                <c:ptCount val="1"/>
                <c:pt idx="0">
                  <c:v>P5 Par</c:v>
                </c:pt>
              </c:strCache>
            </c:strRef>
          </c:tx>
          <c:spPr>
            <a:ln w="1908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m!$A$2:$A$21</c:f>
              <c:numCache>
                <c:formatCode>m/d/yyyy</c:formatCode>
                <c:ptCount val="20"/>
                <c:pt idx="0">
                  <c:v>41569</c:v>
                </c:pt>
                <c:pt idx="1">
                  <c:v>41581</c:v>
                </c:pt>
                <c:pt idx="2">
                  <c:v>41649</c:v>
                </c:pt>
                <c:pt idx="3">
                  <c:v>41722</c:v>
                </c:pt>
                <c:pt idx="4">
                  <c:v>41771</c:v>
                </c:pt>
                <c:pt idx="5">
                  <c:v>41843</c:v>
                </c:pt>
                <c:pt idx="6">
                  <c:v>41911</c:v>
                </c:pt>
                <c:pt idx="7">
                  <c:v>41984</c:v>
                </c:pt>
                <c:pt idx="8">
                  <c:v>42075</c:v>
                </c:pt>
                <c:pt idx="9">
                  <c:v>42215</c:v>
                </c:pt>
                <c:pt idx="10">
                  <c:v>42339</c:v>
                </c:pt>
                <c:pt idx="11">
                  <c:v>42462</c:v>
                </c:pt>
                <c:pt idx="12">
                  <c:v>42558</c:v>
                </c:pt>
                <c:pt idx="13">
                  <c:v>42649</c:v>
                </c:pt>
                <c:pt idx="14">
                  <c:v>42754</c:v>
                </c:pt>
                <c:pt idx="15">
                  <c:v>42837</c:v>
                </c:pt>
                <c:pt idx="16">
                  <c:v>42911</c:v>
                </c:pt>
                <c:pt idx="17">
                  <c:v>42969</c:v>
                </c:pt>
                <c:pt idx="18">
                  <c:v>43001</c:v>
                </c:pt>
                <c:pt idx="19">
                  <c:v>43056</c:v>
                </c:pt>
              </c:numCache>
            </c:numRef>
          </c:xVal>
          <c:yVal>
            <c:numRef>
              <c:f>m!$I$2:$I$21</c:f>
              <c:numCache>
                <c:formatCode>0.0000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1.11979166666666E-3</c:v>
                </c:pt>
                <c:pt idx="3">
                  <c:v>1.9791666666666499E-3</c:v>
                </c:pt>
                <c:pt idx="4">
                  <c:v>5.1302083333333304E-3</c:v>
                </c:pt>
                <c:pt idx="5">
                  <c:v>2.2656249999999899E-3</c:v>
                </c:pt>
                <c:pt idx="6">
                  <c:v>5.4166666666666599E-3</c:v>
                </c:pt>
                <c:pt idx="7">
                  <c:v>1.9791666666666499E-3</c:v>
                </c:pt>
                <c:pt idx="8">
                  <c:v>5.9895833333333199E-3</c:v>
                </c:pt>
                <c:pt idx="9">
                  <c:v>6.8489583333333198E-3</c:v>
                </c:pt>
                <c:pt idx="10">
                  <c:v>1.1432291666666599E-2</c:v>
                </c:pt>
                <c:pt idx="11">
                  <c:v>9.9999999999999898E-3</c:v>
                </c:pt>
                <c:pt idx="12">
                  <c:v>5.9895833333333199E-3</c:v>
                </c:pt>
                <c:pt idx="13">
                  <c:v>5.9895833333333199E-3</c:v>
                </c:pt>
                <c:pt idx="14">
                  <c:v>8.8541666666666595E-3</c:v>
                </c:pt>
                <c:pt idx="15">
                  <c:v>8.5677083333333195E-3</c:v>
                </c:pt>
                <c:pt idx="16">
                  <c:v>7.1354166666666502E-3</c:v>
                </c:pt>
                <c:pt idx="17">
                  <c:v>7.1354166666666502E-3</c:v>
                </c:pt>
                <c:pt idx="18">
                  <c:v>4.8437499999999904E-3</c:v>
                </c:pt>
                <c:pt idx="19">
                  <c:v>7.7083333333333301E-3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085-4CF2-811A-E0FEFCB21B2D}"/>
            </c:ext>
          </c:extLst>
        </c:ser>
        <c:ser>
          <c:idx val="6"/>
          <c:order val="6"/>
          <c:tx>
            <c:strRef>
              <c:f>m!$H$1</c:f>
              <c:strCache>
                <c:ptCount val="1"/>
                <c:pt idx="0">
                  <c:v>P4 Par</c:v>
                </c:pt>
              </c:strCache>
            </c:strRef>
          </c:tx>
          <c:spPr>
            <a:ln w="38160">
              <a:solidFill>
                <a:srgbClr val="CF642C"/>
              </a:solidFill>
              <a:round/>
            </a:ln>
          </c:spPr>
          <c:marker>
            <c:symbol val="circle"/>
            <c:size val="5"/>
            <c:spPr>
              <a:solidFill>
                <a:srgbClr val="CF64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m!$A$2:$A$21</c:f>
              <c:numCache>
                <c:formatCode>m/d/yyyy</c:formatCode>
                <c:ptCount val="20"/>
                <c:pt idx="0">
                  <c:v>41569</c:v>
                </c:pt>
                <c:pt idx="1">
                  <c:v>41581</c:v>
                </c:pt>
                <c:pt idx="2">
                  <c:v>41649</c:v>
                </c:pt>
                <c:pt idx="3">
                  <c:v>41722</c:v>
                </c:pt>
                <c:pt idx="4">
                  <c:v>41771</c:v>
                </c:pt>
                <c:pt idx="5">
                  <c:v>41843</c:v>
                </c:pt>
                <c:pt idx="6">
                  <c:v>41911</c:v>
                </c:pt>
                <c:pt idx="7">
                  <c:v>41984</c:v>
                </c:pt>
                <c:pt idx="8">
                  <c:v>42075</c:v>
                </c:pt>
                <c:pt idx="9">
                  <c:v>42215</c:v>
                </c:pt>
                <c:pt idx="10">
                  <c:v>42339</c:v>
                </c:pt>
                <c:pt idx="11">
                  <c:v>42462</c:v>
                </c:pt>
                <c:pt idx="12">
                  <c:v>42558</c:v>
                </c:pt>
                <c:pt idx="13">
                  <c:v>42649</c:v>
                </c:pt>
                <c:pt idx="14">
                  <c:v>42754</c:v>
                </c:pt>
                <c:pt idx="15">
                  <c:v>42837</c:v>
                </c:pt>
                <c:pt idx="16">
                  <c:v>42911</c:v>
                </c:pt>
                <c:pt idx="17">
                  <c:v>42969</c:v>
                </c:pt>
                <c:pt idx="18">
                  <c:v>43001</c:v>
                </c:pt>
                <c:pt idx="19">
                  <c:v>43056</c:v>
                </c:pt>
              </c:numCache>
            </c:numRef>
          </c:xVal>
          <c:yVal>
            <c:numRef>
              <c:f>m!$H$2:$H$21</c:f>
              <c:numCache>
                <c:formatCode>0.0000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1.6927083333333299E-3</c:v>
                </c:pt>
                <c:pt idx="3">
                  <c:v>5.4166666666666599E-3</c:v>
                </c:pt>
                <c:pt idx="4">
                  <c:v>4.2708333333333296E-3</c:v>
                </c:pt>
                <c:pt idx="5">
                  <c:v>5.1302083333333304E-3</c:v>
                </c:pt>
                <c:pt idx="6">
                  <c:v>5.9895833333333199E-3</c:v>
                </c:pt>
                <c:pt idx="7">
                  <c:v>3.4114583333333202E-3</c:v>
                </c:pt>
                <c:pt idx="8">
                  <c:v>5.7031249999999799E-3</c:v>
                </c:pt>
                <c:pt idx="9">
                  <c:v>4.2708333333333296E-3</c:v>
                </c:pt>
                <c:pt idx="10">
                  <c:v>8.8541666666666595E-3</c:v>
                </c:pt>
                <c:pt idx="11">
                  <c:v>7.4218749999999901E-3</c:v>
                </c:pt>
                <c:pt idx="12">
                  <c:v>5.9895833333333199E-3</c:v>
                </c:pt>
                <c:pt idx="13">
                  <c:v>4.8437499999999904E-3</c:v>
                </c:pt>
                <c:pt idx="14">
                  <c:v>5.9895833333333199E-3</c:v>
                </c:pt>
                <c:pt idx="15">
                  <c:v>4.2708333333333296E-3</c:v>
                </c:pt>
                <c:pt idx="16">
                  <c:v>3.6979166666666601E-3</c:v>
                </c:pt>
                <c:pt idx="17">
                  <c:v>5.1302083333333304E-3</c:v>
                </c:pt>
                <c:pt idx="18">
                  <c:v>3.9843749999999897E-3</c:v>
                </c:pt>
                <c:pt idx="19">
                  <c:v>7.1000000000000004E-3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085-4CF2-811A-E0FEFCB21B2D}"/>
            </c:ext>
          </c:extLst>
        </c:ser>
        <c:ser>
          <c:idx val="7"/>
          <c:order val="7"/>
          <c:tx>
            <c:strRef>
              <c:f>m!$J$1</c:f>
              <c:strCache>
                <c:ptCount val="1"/>
                <c:pt idx="0">
                  <c:v>P6 Par</c:v>
                </c:pt>
              </c:strCache>
            </c:strRef>
          </c:tx>
          <c:spPr>
            <a:ln w="1908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m!$A$2:$A$21</c:f>
              <c:numCache>
                <c:formatCode>m/d/yyyy</c:formatCode>
                <c:ptCount val="20"/>
                <c:pt idx="0">
                  <c:v>41569</c:v>
                </c:pt>
                <c:pt idx="1">
                  <c:v>41581</c:v>
                </c:pt>
                <c:pt idx="2">
                  <c:v>41649</c:v>
                </c:pt>
                <c:pt idx="3">
                  <c:v>41722</c:v>
                </c:pt>
                <c:pt idx="4">
                  <c:v>41771</c:v>
                </c:pt>
                <c:pt idx="5">
                  <c:v>41843</c:v>
                </c:pt>
                <c:pt idx="6">
                  <c:v>41911</c:v>
                </c:pt>
                <c:pt idx="7">
                  <c:v>41984</c:v>
                </c:pt>
                <c:pt idx="8">
                  <c:v>42075</c:v>
                </c:pt>
                <c:pt idx="9">
                  <c:v>42215</c:v>
                </c:pt>
                <c:pt idx="10">
                  <c:v>42339</c:v>
                </c:pt>
                <c:pt idx="11">
                  <c:v>42462</c:v>
                </c:pt>
                <c:pt idx="12">
                  <c:v>42558</c:v>
                </c:pt>
                <c:pt idx="13">
                  <c:v>42649</c:v>
                </c:pt>
                <c:pt idx="14">
                  <c:v>42754</c:v>
                </c:pt>
                <c:pt idx="15">
                  <c:v>42837</c:v>
                </c:pt>
                <c:pt idx="16">
                  <c:v>42911</c:v>
                </c:pt>
                <c:pt idx="17">
                  <c:v>42969</c:v>
                </c:pt>
                <c:pt idx="18">
                  <c:v>43001</c:v>
                </c:pt>
                <c:pt idx="19">
                  <c:v>43056</c:v>
                </c:pt>
              </c:numCache>
            </c:numRef>
          </c:xVal>
          <c:yVal>
            <c:numRef>
              <c:f>m!$J$2:$J$21</c:f>
              <c:numCache>
                <c:formatCode>0.0000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1.6927083333333299E-3</c:v>
                </c:pt>
                <c:pt idx="3">
                  <c:v>2.2656249999999899E-3</c:v>
                </c:pt>
                <c:pt idx="4">
                  <c:v>5.1302083333333304E-3</c:v>
                </c:pt>
                <c:pt idx="5">
                  <c:v>1.9791666666666499E-3</c:v>
                </c:pt>
                <c:pt idx="6">
                  <c:v>5.1302083333333304E-3</c:v>
                </c:pt>
                <c:pt idx="7">
                  <c:v>2.2656249999999899E-3</c:v>
                </c:pt>
                <c:pt idx="8">
                  <c:v>5.1302083333333304E-3</c:v>
                </c:pt>
                <c:pt idx="9">
                  <c:v>4.5572916666666496E-3</c:v>
                </c:pt>
                <c:pt idx="10">
                  <c:v>9.4270833333333203E-3</c:v>
                </c:pt>
                <c:pt idx="11">
                  <c:v>8.28124999999999E-3</c:v>
                </c:pt>
                <c:pt idx="12">
                  <c:v>7.9947916666666605E-3</c:v>
                </c:pt>
                <c:pt idx="13">
                  <c:v>3.9843749999999897E-3</c:v>
                </c:pt>
                <c:pt idx="14">
                  <c:v>5.4166666666666599E-3</c:v>
                </c:pt>
                <c:pt idx="15">
                  <c:v>6.8489583333333198E-3</c:v>
                </c:pt>
                <c:pt idx="16">
                  <c:v>7.7083333333333301E-3</c:v>
                </c:pt>
                <c:pt idx="17">
                  <c:v>8.28124999999999E-3</c:v>
                </c:pt>
                <c:pt idx="18">
                  <c:v>4.8437499999999904E-3</c:v>
                </c:pt>
                <c:pt idx="19">
                  <c:v>9.4270833333333203E-3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085-4CF2-811A-E0FEFCB2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53231"/>
        <c:axId val="73629408"/>
      </c:scatterChart>
      <c:valAx>
        <c:axId val="55953231"/>
        <c:scaling>
          <c:orientation val="minMax"/>
          <c:min val="41565"/>
        </c:scaling>
        <c:delete val="0"/>
        <c:axPos val="t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m/d/yyyy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73629408"/>
        <c:crosses val="max"/>
        <c:crossBetween val="midCat"/>
      </c:valAx>
      <c:valAx>
        <c:axId val="736294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5595323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495360</xdr:colOff>
      <xdr:row>1</xdr:row>
      <xdr:rowOff>9360</xdr:rowOff>
    </xdr:from>
    <xdr:to>
      <xdr:col>19</xdr:col>
      <xdr:colOff>218880</xdr:colOff>
      <xdr:row>23</xdr:row>
      <xdr:rowOff>113760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Normal="100" workbookViewId="0">
      <selection activeCell="A22" sqref="A22"/>
    </sheetView>
  </sheetViews>
  <sheetFormatPr defaultColWidth="8.625" defaultRowHeight="14.25" x14ac:dyDescent="0.2"/>
  <cols>
    <col min="1" max="1" width="12.875" customWidth="1"/>
    <col min="2" max="2" width="15.375" customWidth="1"/>
    <col min="3" max="3" width="13.5" customWidth="1"/>
    <col min="4" max="4" width="15.125" customWidth="1"/>
    <col min="5" max="5" width="14.75" customWidth="1"/>
    <col min="6" max="6" width="13.875" customWidth="1"/>
    <col min="7" max="7" width="11.875" customWidth="1"/>
    <col min="8" max="8" width="11.375" customWidth="1"/>
    <col min="9" max="9" width="13.5" customWidth="1"/>
    <col min="10" max="10" width="10.875" customWidth="1"/>
    <col min="14" max="14" width="14.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5" x14ac:dyDescent="0.2">
      <c r="A2" s="2">
        <v>41569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L2" s="1"/>
      <c r="M2" s="1"/>
    </row>
    <row r="3" spans="1:15" x14ac:dyDescent="0.2">
      <c r="A3" s="2">
        <v>41581</v>
      </c>
      <c r="B3" s="4">
        <v>0</v>
      </c>
      <c r="C3" s="4">
        <v>0</v>
      </c>
      <c r="D3" s="4">
        <v>0</v>
      </c>
      <c r="E3" s="3">
        <v>1.4E-3</v>
      </c>
      <c r="F3" s="3">
        <v>-1.55E-2</v>
      </c>
      <c r="G3" s="3">
        <v>-9.4999999999999998E-3</v>
      </c>
      <c r="H3" s="3">
        <v>0</v>
      </c>
      <c r="I3" s="3">
        <v>0</v>
      </c>
      <c r="J3" s="3">
        <v>0</v>
      </c>
      <c r="L3" s="1"/>
      <c r="M3" s="2"/>
      <c r="N3" s="1"/>
      <c r="O3" s="1"/>
    </row>
    <row r="4" spans="1:15" x14ac:dyDescent="0.2">
      <c r="A4" s="2">
        <v>41649</v>
      </c>
      <c r="B4" s="3">
        <v>5.1000000000000004E-3</v>
      </c>
      <c r="C4" s="3">
        <v>5.1000000000000004E-3</v>
      </c>
      <c r="D4" s="3">
        <v>5.1000000000000004E-3</v>
      </c>
      <c r="E4" s="3">
        <v>1.4E-3</v>
      </c>
      <c r="F4" s="3">
        <v>-4.8999999999999998E-3</v>
      </c>
      <c r="G4" s="3">
        <v>0</v>
      </c>
      <c r="H4" s="3">
        <v>1.6999999999999999E-3</v>
      </c>
      <c r="I4" s="3">
        <v>1.1000000000000001E-3</v>
      </c>
      <c r="J4" s="3">
        <v>1.6999999999999999E-3</v>
      </c>
      <c r="L4" s="1"/>
      <c r="M4" s="2"/>
      <c r="N4" s="1"/>
      <c r="O4" s="1"/>
    </row>
    <row r="5" spans="1:15" x14ac:dyDescent="0.2">
      <c r="A5" s="2">
        <v>41722</v>
      </c>
      <c r="B5" s="3">
        <v>8.0000000000000002E-3</v>
      </c>
      <c r="C5" s="3">
        <v>8.0000000000000002E-3</v>
      </c>
      <c r="D5" s="3">
        <v>8.0000000000000002E-3</v>
      </c>
      <c r="E5" s="3">
        <v>2.3E-3</v>
      </c>
      <c r="F5" s="3">
        <v>-1.43E-2</v>
      </c>
      <c r="G5" s="3">
        <v>-6.6E-3</v>
      </c>
      <c r="H5" s="3">
        <v>5.4000000000000003E-3</v>
      </c>
      <c r="I5" s="3">
        <v>2E-3</v>
      </c>
      <c r="J5" s="3">
        <v>2.3E-3</v>
      </c>
      <c r="L5" s="1"/>
      <c r="M5" s="2"/>
      <c r="N5" s="1"/>
      <c r="O5" s="1"/>
    </row>
    <row r="6" spans="1:15" x14ac:dyDescent="0.2">
      <c r="A6" s="2">
        <v>41771</v>
      </c>
      <c r="B6" s="3">
        <v>8.8000000000000005E-3</v>
      </c>
      <c r="C6" s="3">
        <v>7.7000000000000002E-3</v>
      </c>
      <c r="D6" s="3">
        <v>1.06E-2</v>
      </c>
      <c r="E6" s="3">
        <v>-7.7999999999999996E-3</v>
      </c>
      <c r="F6" s="3">
        <v>-1.7500000000000002E-2</v>
      </c>
      <c r="G6" s="3">
        <v>-9.4999999999999998E-3</v>
      </c>
      <c r="H6" s="3">
        <v>4.3E-3</v>
      </c>
      <c r="I6" s="3">
        <v>5.1000000000000004E-3</v>
      </c>
      <c r="J6" s="3">
        <v>5.1000000000000004E-3</v>
      </c>
      <c r="L6" s="1"/>
      <c r="M6" s="2"/>
      <c r="N6" s="1"/>
      <c r="O6" s="1"/>
    </row>
    <row r="7" spans="1:15" x14ac:dyDescent="0.2">
      <c r="A7" s="2">
        <v>41843</v>
      </c>
      <c r="B7" s="3">
        <v>1.3899999999999999E-2</v>
      </c>
      <c r="C7" s="3">
        <v>1.29E-2</v>
      </c>
      <c r="D7" s="3">
        <v>1.46E-2</v>
      </c>
      <c r="E7" s="3">
        <v>2E-3</v>
      </c>
      <c r="F7" s="3">
        <v>-1.95E-2</v>
      </c>
      <c r="G7" s="3">
        <v>-8.0000000000000002E-3</v>
      </c>
      <c r="H7" s="3">
        <v>5.1000000000000004E-3</v>
      </c>
      <c r="I7" s="3">
        <v>2.3E-3</v>
      </c>
      <c r="J7" s="3">
        <v>2E-3</v>
      </c>
      <c r="L7" s="1"/>
      <c r="M7" s="2"/>
      <c r="N7" s="1"/>
      <c r="O7" s="1"/>
    </row>
    <row r="8" spans="1:15" x14ac:dyDescent="0.2">
      <c r="A8" s="2">
        <v>41911</v>
      </c>
      <c r="B8" s="3">
        <v>1.8700000000000001E-2</v>
      </c>
      <c r="C8" s="3">
        <v>1.77E-2</v>
      </c>
      <c r="D8" s="3">
        <v>2.06E-2</v>
      </c>
      <c r="E8" s="3">
        <v>1.6999999999999999E-3</v>
      </c>
      <c r="F8" s="3">
        <v>-1.78E-2</v>
      </c>
      <c r="G8" s="3">
        <v>-8.8999999999999999E-3</v>
      </c>
      <c r="H8" s="3">
        <v>6.0000000000000001E-3</v>
      </c>
      <c r="I8" s="3">
        <v>5.4000000000000003E-3</v>
      </c>
      <c r="J8" s="3">
        <v>5.1000000000000004E-3</v>
      </c>
      <c r="M8" s="2"/>
      <c r="N8" s="1"/>
      <c r="O8" s="1"/>
    </row>
    <row r="9" spans="1:15" x14ac:dyDescent="0.2">
      <c r="A9" s="2">
        <v>41984</v>
      </c>
      <c r="B9" s="3">
        <v>2.3300000000000001E-2</v>
      </c>
      <c r="C9" s="3">
        <v>2.23E-2</v>
      </c>
      <c r="D9" s="3">
        <v>2.63E-2</v>
      </c>
      <c r="E9" s="3">
        <v>-2.9999999999999997E-4</v>
      </c>
      <c r="F9" s="3">
        <v>-2.0899999999999998E-2</v>
      </c>
      <c r="G9" s="3">
        <v>-1.06E-2</v>
      </c>
      <c r="H9" s="3">
        <v>3.3999999999999998E-3</v>
      </c>
      <c r="I9" s="3">
        <v>2E-3</v>
      </c>
      <c r="J9" s="3">
        <v>2.3E-3</v>
      </c>
      <c r="M9" s="2"/>
      <c r="N9" s="1"/>
      <c r="O9" s="1"/>
    </row>
    <row r="10" spans="1:15" x14ac:dyDescent="0.2">
      <c r="A10" s="2">
        <v>42075</v>
      </c>
      <c r="B10" s="3">
        <v>2.86E-2</v>
      </c>
      <c r="C10" s="3">
        <v>2.6599999999999999E-2</v>
      </c>
      <c r="D10" s="3">
        <v>3.49E-2</v>
      </c>
      <c r="E10" s="3">
        <v>2.5999999999999999E-3</v>
      </c>
      <c r="F10" s="3">
        <v>-2.58E-2</v>
      </c>
      <c r="G10" s="3">
        <v>-1.29E-2</v>
      </c>
      <c r="H10" s="3">
        <v>5.7000000000000002E-3</v>
      </c>
      <c r="I10" s="3">
        <v>6.0000000000000001E-3</v>
      </c>
      <c r="J10" s="3">
        <v>5.1000000000000004E-3</v>
      </c>
      <c r="M10" s="2"/>
      <c r="N10" s="1"/>
      <c r="O10" s="1"/>
    </row>
    <row r="11" spans="1:15" x14ac:dyDescent="0.2">
      <c r="A11" s="2">
        <v>42215</v>
      </c>
      <c r="B11" s="3">
        <v>2.9000000000000001E-2</v>
      </c>
      <c r="C11" s="3">
        <v>3.09E-2</v>
      </c>
      <c r="D11" s="3">
        <v>3.8899999999999997E-2</v>
      </c>
      <c r="E11" s="3">
        <v>-5.9999999999999995E-4</v>
      </c>
      <c r="F11" s="3">
        <v>-3.3300000000000003E-2</v>
      </c>
      <c r="G11" s="3">
        <v>-1.89E-2</v>
      </c>
      <c r="H11" s="3">
        <v>4.3E-3</v>
      </c>
      <c r="I11" s="3">
        <v>6.7999999999999996E-3</v>
      </c>
      <c r="J11" s="3">
        <v>4.5999999999999999E-3</v>
      </c>
      <c r="M11" s="2"/>
      <c r="N11" s="1"/>
      <c r="O11" s="1"/>
    </row>
    <row r="12" spans="1:15" x14ac:dyDescent="0.2">
      <c r="A12" s="2">
        <v>42339</v>
      </c>
      <c r="B12" s="3">
        <v>3.4799999999999998E-2</v>
      </c>
      <c r="C12" s="3">
        <v>3.6400000000000002E-2</v>
      </c>
      <c r="D12" s="3">
        <v>4.9200000000000001E-2</v>
      </c>
      <c r="E12" s="3">
        <v>-1.89E-2</v>
      </c>
      <c r="F12" s="3">
        <v>-5.1900000000000002E-2</v>
      </c>
      <c r="G12" s="3">
        <v>-3.6400000000000002E-2</v>
      </c>
      <c r="H12" s="3">
        <v>8.8999999999999999E-3</v>
      </c>
      <c r="I12" s="3">
        <v>1.14E-2</v>
      </c>
      <c r="J12" s="3">
        <v>9.4000000000000004E-3</v>
      </c>
      <c r="M12" s="2"/>
      <c r="N12" s="1"/>
      <c r="O12" s="1"/>
    </row>
    <row r="13" spans="1:15" x14ac:dyDescent="0.2">
      <c r="A13" s="2">
        <v>42462</v>
      </c>
      <c r="B13" s="3">
        <v>4.7199999999999999E-2</v>
      </c>
      <c r="C13" s="3">
        <v>4.5199999999999997E-2</v>
      </c>
      <c r="D13" s="3">
        <v>6.13E-2</v>
      </c>
      <c r="E13" s="3">
        <v>-1.18E-2</v>
      </c>
      <c r="F13" s="3">
        <v>-4.5900000000000003E-2</v>
      </c>
      <c r="G13" s="3">
        <v>-3.27E-2</v>
      </c>
      <c r="H13" s="3">
        <v>7.4000000000000003E-3</v>
      </c>
      <c r="I13" s="3">
        <v>0.01</v>
      </c>
      <c r="J13" s="3">
        <v>8.3000000000000001E-3</v>
      </c>
      <c r="M13" s="2"/>
      <c r="N13" s="1"/>
      <c r="O13" s="1"/>
    </row>
    <row r="14" spans="1:15" x14ac:dyDescent="0.2">
      <c r="A14" s="2">
        <v>42558</v>
      </c>
      <c r="B14" s="3">
        <v>5.1499999999999997E-2</v>
      </c>
      <c r="C14" s="3">
        <v>5.3499999999999999E-2</v>
      </c>
      <c r="D14" s="3">
        <v>6.9000000000000006E-2</v>
      </c>
      <c r="E14" s="3">
        <v>-1.43E-2</v>
      </c>
      <c r="F14" s="3">
        <v>-4.99E-2</v>
      </c>
      <c r="G14" s="3">
        <v>-3.5799999999999998E-2</v>
      </c>
      <c r="H14" s="3">
        <v>6.0000000000000001E-3</v>
      </c>
      <c r="I14" s="3">
        <v>6.0000000000000001E-3</v>
      </c>
      <c r="J14" s="3">
        <v>8.0000000000000002E-3</v>
      </c>
      <c r="M14" s="2"/>
      <c r="N14" s="1"/>
      <c r="O14" s="1"/>
    </row>
    <row r="15" spans="1:15" x14ac:dyDescent="0.2">
      <c r="A15" s="2">
        <v>42640</v>
      </c>
      <c r="B15" s="3">
        <v>5.5399999999999998E-2</v>
      </c>
      <c r="C15" s="3">
        <v>5.5100000000000003E-2</v>
      </c>
      <c r="D15" s="3">
        <v>7.1599999999999997E-2</v>
      </c>
      <c r="E15" s="3">
        <v>-2.1299999999999999E-2</v>
      </c>
      <c r="F15" s="3">
        <v>-6.4299999999999996E-2</v>
      </c>
      <c r="G15" s="3">
        <v>-4.6399999999999997E-2</v>
      </c>
      <c r="H15" s="3">
        <v>5.0000000000000001E-3</v>
      </c>
      <c r="I15" s="3">
        <v>6.0000000000000001E-3</v>
      </c>
      <c r="J15" s="3">
        <v>4.4000000000000003E-3</v>
      </c>
      <c r="M15" s="2"/>
      <c r="N15" s="1"/>
      <c r="O15" s="1"/>
    </row>
    <row r="16" spans="1:15" x14ac:dyDescent="0.2">
      <c r="A16" s="2">
        <v>42649</v>
      </c>
      <c r="B16" s="3">
        <v>5.5800000000000002E-2</v>
      </c>
      <c r="C16" s="3">
        <v>5.5300000000000002E-2</v>
      </c>
      <c r="D16" s="3">
        <v>7.1900000000000006E-2</v>
      </c>
      <c r="E16" s="3">
        <v>-2.2100000000000002E-2</v>
      </c>
      <c r="F16" s="3">
        <v>-6.59E-2</v>
      </c>
      <c r="G16" s="3">
        <v>-4.7600000000000003E-2</v>
      </c>
      <c r="H16" s="3">
        <v>4.7999999999999996E-3</v>
      </c>
      <c r="I16" s="3">
        <v>6.0000000000000001E-3</v>
      </c>
      <c r="J16" s="3">
        <v>4.0000000000000001E-3</v>
      </c>
      <c r="M16" s="2"/>
      <c r="N16" s="1"/>
      <c r="O16" s="1"/>
    </row>
    <row r="17" spans="1:15" x14ac:dyDescent="0.2">
      <c r="A17" s="2">
        <v>42754</v>
      </c>
      <c r="B17" s="3">
        <v>6.1600000000000002E-2</v>
      </c>
      <c r="C17" s="3">
        <v>6.3899999999999998E-2</v>
      </c>
      <c r="D17" s="3">
        <v>8.1000000000000003E-2</v>
      </c>
      <c r="E17" s="3">
        <v>-2.6700000000000002E-2</v>
      </c>
      <c r="F17" s="3">
        <v>-6.8500000000000005E-2</v>
      </c>
      <c r="G17" s="3">
        <v>-5.1299999999999998E-2</v>
      </c>
      <c r="H17" s="3">
        <v>6.0000000000000001E-3</v>
      </c>
      <c r="I17" s="3">
        <v>8.8999999999999999E-3</v>
      </c>
      <c r="J17" s="3">
        <v>5.4000000000000003E-3</v>
      </c>
      <c r="M17" s="2"/>
      <c r="N17" s="1"/>
      <c r="O17" s="1"/>
    </row>
    <row r="18" spans="1:15" x14ac:dyDescent="0.2">
      <c r="A18" s="2">
        <v>42837</v>
      </c>
      <c r="B18" s="3">
        <v>6.7000000000000004E-2</v>
      </c>
      <c r="C18" s="3">
        <v>6.3600000000000004E-2</v>
      </c>
      <c r="D18" s="3">
        <v>8.5300000000000001E-2</v>
      </c>
      <c r="E18" s="3">
        <v>-3.15E-2</v>
      </c>
      <c r="F18" s="4">
        <v>-6.8500000000000005E-2</v>
      </c>
      <c r="G18" s="3">
        <v>-5.62E-2</v>
      </c>
      <c r="H18" s="3">
        <v>4.3E-3</v>
      </c>
      <c r="I18" s="3">
        <v>8.6E-3</v>
      </c>
      <c r="J18" s="3">
        <v>6.7999999999999996E-3</v>
      </c>
      <c r="M18" s="2"/>
      <c r="N18" s="1"/>
      <c r="O18" s="1"/>
    </row>
    <row r="19" spans="1:15" x14ac:dyDescent="0.2">
      <c r="A19" s="2">
        <v>42911</v>
      </c>
      <c r="B19" s="3">
        <v>6.9900000000000004E-2</v>
      </c>
      <c r="C19" s="3"/>
      <c r="D19" s="3">
        <v>8.7900000000000006E-2</v>
      </c>
      <c r="E19" s="3">
        <v>-3.1300000000000001E-2</v>
      </c>
      <c r="F19" s="4"/>
      <c r="G19" s="3">
        <v>-5.45E-2</v>
      </c>
      <c r="H19" s="3">
        <v>3.7000000000000002E-3</v>
      </c>
      <c r="I19" s="3">
        <v>7.1000000000000004E-3</v>
      </c>
      <c r="J19" s="3">
        <v>7.7000000000000002E-3</v>
      </c>
      <c r="M19" s="2"/>
      <c r="N19" s="1"/>
      <c r="O19" s="1"/>
    </row>
    <row r="20" spans="1:15" x14ac:dyDescent="0.2">
      <c r="A20" s="2">
        <v>42969</v>
      </c>
      <c r="B20" s="3">
        <v>7.4499999999999997E-2</v>
      </c>
      <c r="C20" s="3"/>
      <c r="D20" s="3">
        <v>9.5399999999999999E-2</v>
      </c>
      <c r="E20" s="3">
        <v>-2.7E-2</v>
      </c>
      <c r="F20" s="4"/>
      <c r="G20" s="3">
        <v>-5.3900000000000003E-2</v>
      </c>
      <c r="H20" s="3">
        <v>5.1000000000000004E-3</v>
      </c>
      <c r="I20" s="3">
        <v>7.1000000000000004E-3</v>
      </c>
      <c r="J20" s="3">
        <v>8.3000000000000001E-3</v>
      </c>
      <c r="M20" s="2"/>
      <c r="N20" s="1"/>
      <c r="O20" s="1"/>
    </row>
    <row r="21" spans="1:15" x14ac:dyDescent="0.2">
      <c r="A21" s="2">
        <v>43001</v>
      </c>
      <c r="B21" s="3">
        <v>7.2999999999999995E-2</v>
      </c>
      <c r="C21" s="3"/>
      <c r="D21" s="3">
        <v>9.1899999999999996E-2</v>
      </c>
      <c r="E21" s="3">
        <v>-3.73E-2</v>
      </c>
      <c r="F21" s="4"/>
      <c r="G21" s="3">
        <v>-6.13E-2</v>
      </c>
      <c r="H21" s="3">
        <v>4.0000000000000001E-3</v>
      </c>
      <c r="I21" s="3">
        <v>4.7999999999999996E-3</v>
      </c>
      <c r="J21" s="3">
        <v>4.7999999999999996E-3</v>
      </c>
      <c r="M21" s="2"/>
      <c r="N21" s="1"/>
      <c r="O21" s="1"/>
    </row>
    <row r="22" spans="1:15" x14ac:dyDescent="0.2">
      <c r="A22" s="7">
        <v>43056</v>
      </c>
      <c r="B22">
        <v>7.5600000000000001E-2</v>
      </c>
      <c r="D22">
        <v>9.9699999999999997E-2</v>
      </c>
      <c r="E22">
        <v>-3.04E-2</v>
      </c>
      <c r="G22">
        <v>-6.1899999999999997E-2</v>
      </c>
      <c r="H22">
        <v>7.1000000000000004E-3</v>
      </c>
      <c r="I22">
        <v>7.7000000000000002E-3</v>
      </c>
      <c r="J22">
        <v>9.4000000000000004E-3</v>
      </c>
      <c r="M22" s="2"/>
      <c r="N22" s="1"/>
      <c r="O22" s="1"/>
    </row>
    <row r="23" spans="1:15" x14ac:dyDescent="0.2">
      <c r="E23" s="1"/>
      <c r="M23" s="2"/>
      <c r="N23" s="1"/>
      <c r="O23" s="1"/>
    </row>
    <row r="24" spans="1:15" x14ac:dyDescent="0.2">
      <c r="M24" s="2"/>
      <c r="N24" s="1"/>
      <c r="O24" s="1"/>
    </row>
    <row r="25" spans="1:15" x14ac:dyDescent="0.2">
      <c r="M25" s="2"/>
      <c r="N25" s="1"/>
      <c r="O25" s="1"/>
    </row>
    <row r="29" spans="1:15" ht="15" x14ac:dyDescent="0.25">
      <c r="A29" s="5"/>
      <c r="F29" s="6"/>
    </row>
    <row r="30" spans="1:15" ht="15" x14ac:dyDescent="0.25">
      <c r="A30" s="5"/>
      <c r="F30" s="6"/>
    </row>
    <row r="31" spans="1:15" ht="15" x14ac:dyDescent="0.25">
      <c r="A31" s="5"/>
      <c r="F31" s="6"/>
    </row>
    <row r="33" spans="2:5" ht="15" x14ac:dyDescent="0.2">
      <c r="B33" s="6"/>
      <c r="C33" s="6"/>
      <c r="D33" s="6"/>
      <c r="E33" s="6"/>
    </row>
    <row r="34" spans="2:5" ht="15" x14ac:dyDescent="0.2">
      <c r="B34" s="6"/>
      <c r="C34" s="6"/>
      <c r="D34" s="6"/>
      <c r="E34" s="6"/>
    </row>
    <row r="35" spans="2:5" ht="15" x14ac:dyDescent="0.2">
      <c r="B35" s="6"/>
      <c r="C35" s="6"/>
      <c r="D35" s="6"/>
      <c r="E35" s="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"/>
  <sheetViews>
    <sheetView zoomScaleNormal="100" workbookViewId="0">
      <selection activeCell="N33" sqref="N33"/>
    </sheetView>
  </sheetViews>
  <sheetFormatPr defaultColWidth="8.625" defaultRowHeight="14.25" x14ac:dyDescent="0.2"/>
  <cols>
    <col min="1" max="1" width="12.875" customWidth="1"/>
    <col min="2" max="2" width="15.375" customWidth="1"/>
    <col min="3" max="3" width="13.5" customWidth="1"/>
    <col min="4" max="4" width="15.125" customWidth="1"/>
    <col min="5" max="5" width="14.75" customWidth="1"/>
    <col min="6" max="6" width="13.875" customWidth="1"/>
    <col min="7" max="7" width="11.875" customWidth="1"/>
    <col min="8" max="8" width="11.375" customWidth="1"/>
    <col min="9" max="9" width="13.5" customWidth="1"/>
    <col min="10" max="10" width="10.875" customWidth="1"/>
    <col min="14" max="14" width="14.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5" x14ac:dyDescent="0.2">
      <c r="A2" s="2">
        <v>41569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L2" s="1"/>
      <c r="M2" s="1"/>
    </row>
    <row r="3" spans="1:15" x14ac:dyDescent="0.2">
      <c r="A3" s="2">
        <v>41581</v>
      </c>
      <c r="B3" s="4">
        <v>0</v>
      </c>
      <c r="C3" s="4">
        <v>0</v>
      </c>
      <c r="D3" s="4">
        <v>0</v>
      </c>
      <c r="E3" s="3">
        <v>1.40624999999999E-3</v>
      </c>
      <c r="F3" s="3">
        <v>-1.5494791666666599E-2</v>
      </c>
      <c r="G3" s="3">
        <v>-9.4791666666666705E-3</v>
      </c>
      <c r="H3" s="3">
        <v>0</v>
      </c>
      <c r="I3" s="3">
        <v>0</v>
      </c>
      <c r="J3" s="3">
        <v>0</v>
      </c>
      <c r="L3" s="1"/>
      <c r="M3" s="2"/>
      <c r="N3" s="1"/>
      <c r="O3" s="1"/>
    </row>
    <row r="4" spans="1:15" x14ac:dyDescent="0.2">
      <c r="A4" s="2">
        <v>41649</v>
      </c>
      <c r="B4" s="3">
        <v>5.1302083333333304E-3</v>
      </c>
      <c r="C4" s="3">
        <v>5.1302083333333304E-3</v>
      </c>
      <c r="D4" s="3">
        <v>5.1302083333333304E-3</v>
      </c>
      <c r="E4" s="3">
        <v>1.40624999999999E-3</v>
      </c>
      <c r="F4" s="3">
        <v>-4.8958333333333302E-3</v>
      </c>
      <c r="G4" s="3">
        <v>0</v>
      </c>
      <c r="H4" s="3">
        <v>1.6927083333333299E-3</v>
      </c>
      <c r="I4" s="3">
        <v>1.11979166666666E-3</v>
      </c>
      <c r="J4" s="3">
        <v>1.6927083333333299E-3</v>
      </c>
      <c r="L4" s="1"/>
      <c r="M4" s="2"/>
      <c r="N4" s="1"/>
      <c r="O4" s="1"/>
    </row>
    <row r="5" spans="1:15" x14ac:dyDescent="0.2">
      <c r="A5" s="2">
        <v>41722</v>
      </c>
      <c r="B5" s="3">
        <v>7.9947916666666605E-3</v>
      </c>
      <c r="C5" s="3">
        <v>7.9947916666666605E-3</v>
      </c>
      <c r="D5" s="3">
        <v>7.9947916666666605E-3</v>
      </c>
      <c r="E5" s="3">
        <v>2.2656249999999899E-3</v>
      </c>
      <c r="F5" s="3">
        <v>-1.43489583333333E-2</v>
      </c>
      <c r="G5" s="3">
        <v>-6.6145833333333404E-3</v>
      </c>
      <c r="H5" s="3">
        <v>5.4166666666666599E-3</v>
      </c>
      <c r="I5" s="3">
        <v>1.9791666666666499E-3</v>
      </c>
      <c r="J5" s="3">
        <v>2.2656249999999899E-3</v>
      </c>
      <c r="L5" s="1"/>
      <c r="M5" s="2"/>
      <c r="N5" s="1"/>
      <c r="O5" s="1"/>
    </row>
    <row r="6" spans="1:15" x14ac:dyDescent="0.2">
      <c r="A6" s="2">
        <v>41771</v>
      </c>
      <c r="B6" s="3">
        <v>8.8083333333333295E-3</v>
      </c>
      <c r="C6" s="3">
        <v>7.7083333333333301E-3</v>
      </c>
      <c r="D6" s="3">
        <v>1.05729166666666E-2</v>
      </c>
      <c r="E6" s="3">
        <v>-7.7604166666666698E-3</v>
      </c>
      <c r="F6" s="3">
        <v>-1.7500000000000002E-2</v>
      </c>
      <c r="G6" s="3">
        <v>-9.4791666666666705E-3</v>
      </c>
      <c r="H6" s="3">
        <v>4.2708333333333296E-3</v>
      </c>
      <c r="I6" s="3">
        <v>5.1302083333333304E-3</v>
      </c>
      <c r="J6" s="3">
        <v>5.1302083333333304E-3</v>
      </c>
      <c r="L6" s="1"/>
      <c r="M6" s="2"/>
      <c r="N6" s="1"/>
      <c r="O6" s="1"/>
    </row>
    <row r="7" spans="1:15" x14ac:dyDescent="0.2">
      <c r="A7" s="2">
        <v>41843</v>
      </c>
      <c r="B7" s="3">
        <v>1.38645833333333E-2</v>
      </c>
      <c r="C7" s="3">
        <v>1.2864583333333301E-2</v>
      </c>
      <c r="D7" s="3">
        <v>1.4583333333333301E-2</v>
      </c>
      <c r="E7" s="3">
        <v>1.9791666666666499E-3</v>
      </c>
      <c r="F7" s="3">
        <v>-1.9505208333333302E-2</v>
      </c>
      <c r="G7" s="3">
        <v>-8.0468750000000002E-3</v>
      </c>
      <c r="H7" s="3">
        <v>5.1302083333333304E-3</v>
      </c>
      <c r="I7" s="3">
        <v>2.2656249999999899E-3</v>
      </c>
      <c r="J7" s="3">
        <v>1.9791666666666499E-3</v>
      </c>
      <c r="L7" s="1"/>
      <c r="M7" s="2"/>
      <c r="N7" s="1"/>
      <c r="O7" s="1"/>
    </row>
    <row r="8" spans="1:15" x14ac:dyDescent="0.2">
      <c r="A8" s="2">
        <v>41911</v>
      </c>
      <c r="B8" s="3">
        <v>1.87343749999999E-2</v>
      </c>
      <c r="C8" s="3">
        <v>1.77343749999999E-2</v>
      </c>
      <c r="D8" s="3">
        <v>2.0598958333333299E-2</v>
      </c>
      <c r="E8" s="3">
        <v>1.6927083333333299E-3</v>
      </c>
      <c r="F8" s="3">
        <v>-1.77864583333333E-2</v>
      </c>
      <c r="G8" s="3">
        <v>-8.9062499999999992E-3</v>
      </c>
      <c r="H8" s="3">
        <v>5.9895833333333199E-3</v>
      </c>
      <c r="I8" s="3">
        <v>5.4166666666666599E-3</v>
      </c>
      <c r="J8" s="3">
        <v>5.1302083333333304E-3</v>
      </c>
      <c r="M8" s="2"/>
      <c r="N8" s="1"/>
      <c r="O8" s="1"/>
    </row>
    <row r="9" spans="1:15" x14ac:dyDescent="0.2">
      <c r="A9" s="2">
        <v>41984</v>
      </c>
      <c r="B9" s="3">
        <v>2.3317708333333301E-2</v>
      </c>
      <c r="C9" s="3">
        <v>2.2317708333333301E-2</v>
      </c>
      <c r="D9" s="3">
        <v>2.6328125000000001E-2</v>
      </c>
      <c r="E9" s="3">
        <v>-3.12500000000007E-4</v>
      </c>
      <c r="F9" s="3">
        <v>-2.0937500000000001E-2</v>
      </c>
      <c r="G9" s="3">
        <v>-1.0625000000000001E-2</v>
      </c>
      <c r="H9" s="3">
        <v>3.4114583333333202E-3</v>
      </c>
      <c r="I9" s="3">
        <v>1.9791666666666499E-3</v>
      </c>
      <c r="J9" s="3">
        <v>2.2656249999999899E-3</v>
      </c>
      <c r="M9" s="2"/>
      <c r="N9" s="1"/>
      <c r="O9" s="1"/>
    </row>
    <row r="10" spans="1:15" x14ac:dyDescent="0.2">
      <c r="A10" s="2">
        <v>42075</v>
      </c>
      <c r="B10" s="3">
        <v>2.8614583333333301E-2</v>
      </c>
      <c r="C10" s="3">
        <v>2.6614583333333299E-2</v>
      </c>
      <c r="D10" s="3">
        <v>3.4921874999999901E-2</v>
      </c>
      <c r="E10" s="3">
        <v>2.5520833333333298E-3</v>
      </c>
      <c r="F10" s="3">
        <v>-2.58072916666666E-2</v>
      </c>
      <c r="G10" s="3">
        <v>-1.2916666666666601E-2</v>
      </c>
      <c r="H10" s="3">
        <v>5.7031249999999799E-3</v>
      </c>
      <c r="I10" s="3">
        <v>5.9895833333333199E-3</v>
      </c>
      <c r="J10" s="3">
        <v>5.1302083333333304E-3</v>
      </c>
      <c r="M10" s="2"/>
      <c r="N10" s="1"/>
      <c r="O10" s="1"/>
    </row>
    <row r="11" spans="1:15" x14ac:dyDescent="0.2">
      <c r="A11" s="2">
        <v>42215</v>
      </c>
      <c r="B11" s="3">
        <v>2.9046875E-2</v>
      </c>
      <c r="C11" s="3">
        <v>3.0911458333333301E-2</v>
      </c>
      <c r="D11" s="3">
        <v>3.8932291666666598E-2</v>
      </c>
      <c r="E11" s="3">
        <v>-5.9895833333334304E-4</v>
      </c>
      <c r="F11" s="3">
        <v>-3.32552083333333E-2</v>
      </c>
      <c r="G11" s="3">
        <v>-1.8932291666666601E-2</v>
      </c>
      <c r="H11" s="3">
        <v>4.2708333333333296E-3</v>
      </c>
      <c r="I11" s="3">
        <v>6.8489583333333198E-3</v>
      </c>
      <c r="J11" s="3">
        <v>4.5572916666666496E-3</v>
      </c>
      <c r="M11" s="2"/>
      <c r="N11" s="1"/>
      <c r="O11" s="1"/>
    </row>
    <row r="12" spans="1:15" x14ac:dyDescent="0.2">
      <c r="A12" s="2">
        <v>42339</v>
      </c>
      <c r="B12" s="3">
        <v>3.4776041666666598E-2</v>
      </c>
      <c r="C12" s="3">
        <v>3.6354166666666597E-2</v>
      </c>
      <c r="D12" s="3">
        <v>4.92447916666666E-2</v>
      </c>
      <c r="E12" s="3">
        <v>-1.8932291666666601E-2</v>
      </c>
      <c r="F12" s="3">
        <v>-5.1874999999999998E-2</v>
      </c>
      <c r="G12" s="3">
        <v>-3.6406250000000001E-2</v>
      </c>
      <c r="H12" s="3">
        <v>8.8541666666666595E-3</v>
      </c>
      <c r="I12" s="3">
        <v>1.1432291666666599E-2</v>
      </c>
      <c r="J12" s="3">
        <v>9.4270833333333203E-3</v>
      </c>
      <c r="M12" s="2"/>
      <c r="N12" s="1"/>
      <c r="O12" s="1"/>
    </row>
    <row r="13" spans="1:15" x14ac:dyDescent="0.2">
      <c r="A13" s="2">
        <v>42462</v>
      </c>
      <c r="B13" s="3">
        <v>4.72395833333333E-2</v>
      </c>
      <c r="C13" s="3">
        <v>4.5234374999999903E-2</v>
      </c>
      <c r="D13" s="3">
        <v>6.12760416666666E-2</v>
      </c>
      <c r="E13" s="3">
        <v>-1.17708333333333E-2</v>
      </c>
      <c r="F13" s="3">
        <v>-4.5859375000000001E-2</v>
      </c>
      <c r="G13" s="3">
        <v>-3.2682291666666599E-2</v>
      </c>
      <c r="H13" s="3">
        <v>7.4218749999999901E-3</v>
      </c>
      <c r="I13" s="3">
        <v>9.9999999999999898E-3</v>
      </c>
      <c r="J13" s="3">
        <v>8.28124999999999E-3</v>
      </c>
      <c r="M13" s="2"/>
      <c r="N13" s="1"/>
      <c r="O13" s="1"/>
    </row>
    <row r="14" spans="1:15" x14ac:dyDescent="0.2">
      <c r="A14" s="2">
        <v>42558</v>
      </c>
      <c r="B14" s="3">
        <v>5.1536458333333299E-2</v>
      </c>
      <c r="C14" s="3">
        <v>5.3541666666666599E-2</v>
      </c>
      <c r="D14" s="3">
        <v>6.9010416666666602E-2</v>
      </c>
      <c r="E14" s="3">
        <v>-1.43489583333333E-2</v>
      </c>
      <c r="F14" s="3">
        <v>-4.9869791666666601E-2</v>
      </c>
      <c r="G14" s="3">
        <v>-3.58333333333333E-2</v>
      </c>
      <c r="H14" s="3">
        <v>5.9895833333333199E-3</v>
      </c>
      <c r="I14" s="3">
        <v>5.9895833333333199E-3</v>
      </c>
      <c r="J14" s="3">
        <v>7.9947916666666605E-3</v>
      </c>
      <c r="M14" s="2"/>
      <c r="N14" s="1"/>
      <c r="O14" s="1"/>
    </row>
    <row r="15" spans="1:15" x14ac:dyDescent="0.2">
      <c r="A15" s="2">
        <v>42649</v>
      </c>
      <c r="B15" s="3">
        <v>5.5833333333333297E-2</v>
      </c>
      <c r="C15" s="3">
        <v>5.5265624999999902E-2</v>
      </c>
      <c r="D15" s="3">
        <v>7.1874999999999994E-2</v>
      </c>
      <c r="E15" s="3">
        <v>-2.2083333333333299E-2</v>
      </c>
      <c r="F15" s="3">
        <v>-6.5911458333333298E-2</v>
      </c>
      <c r="G15" s="3">
        <v>-4.7578124999999999E-2</v>
      </c>
      <c r="H15" s="3">
        <v>4.8437499999999904E-3</v>
      </c>
      <c r="I15" s="3">
        <v>5.9895833333333199E-3</v>
      </c>
      <c r="J15" s="3">
        <v>3.9843749999999897E-3</v>
      </c>
      <c r="M15" s="2"/>
      <c r="N15" s="1"/>
      <c r="O15" s="1"/>
    </row>
    <row r="16" spans="1:15" x14ac:dyDescent="0.2">
      <c r="A16" s="2">
        <v>42754</v>
      </c>
      <c r="B16" s="3">
        <v>6.1562499999999902E-2</v>
      </c>
      <c r="C16" s="3">
        <v>6.3854166666666601E-2</v>
      </c>
      <c r="D16" s="3">
        <v>8.1041666666666595E-2</v>
      </c>
      <c r="E16" s="3">
        <v>-2.6666666666666599E-2</v>
      </c>
      <c r="F16" s="3">
        <v>-6.8489583333333298E-2</v>
      </c>
      <c r="G16" s="3">
        <v>-5.1302083333333297E-2</v>
      </c>
      <c r="H16" s="3">
        <v>5.9895833333333199E-3</v>
      </c>
      <c r="I16" s="3">
        <v>8.8541666666666595E-3</v>
      </c>
      <c r="J16" s="3">
        <v>5.4166666666666599E-3</v>
      </c>
      <c r="M16" s="2"/>
      <c r="N16" s="1"/>
      <c r="O16" s="1"/>
    </row>
    <row r="17" spans="1:15" x14ac:dyDescent="0.2">
      <c r="A17" s="2">
        <v>42837</v>
      </c>
      <c r="B17" s="3">
        <v>6.7005208333333302E-2</v>
      </c>
      <c r="C17" s="3">
        <v>6.3567708333333306E-2</v>
      </c>
      <c r="D17" s="3">
        <v>8.5338541666666601E-2</v>
      </c>
      <c r="E17" s="3">
        <v>-3.1536458333333302E-2</v>
      </c>
      <c r="F17" s="3">
        <v>-6.8489583333333298E-2</v>
      </c>
      <c r="G17" s="3">
        <v>-5.6171875000000003E-2</v>
      </c>
      <c r="H17" s="3">
        <v>4.2708333333333296E-3</v>
      </c>
      <c r="I17" s="3">
        <v>8.5677083333333195E-3</v>
      </c>
      <c r="J17" s="3">
        <v>6.8489583333333198E-3</v>
      </c>
      <c r="M17" s="2"/>
      <c r="N17" s="1"/>
      <c r="O17" s="1"/>
    </row>
    <row r="18" spans="1:15" x14ac:dyDescent="0.2">
      <c r="A18" s="2">
        <v>42911</v>
      </c>
      <c r="B18" s="3">
        <v>6.9869791666666597E-2</v>
      </c>
      <c r="C18" s="3"/>
      <c r="D18" s="3">
        <v>8.7916666666666601E-2</v>
      </c>
      <c r="E18" s="3">
        <v>-3.125E-2</v>
      </c>
      <c r="F18" s="4"/>
      <c r="G18" s="3">
        <v>-5.4453124999999998E-2</v>
      </c>
      <c r="H18" s="3">
        <v>3.6979166666666601E-3</v>
      </c>
      <c r="I18" s="3">
        <v>7.1354166666666502E-3</v>
      </c>
      <c r="J18" s="3">
        <v>7.7083333333333301E-3</v>
      </c>
      <c r="M18" s="2"/>
      <c r="N18" s="1"/>
      <c r="O18" s="1"/>
    </row>
    <row r="19" spans="1:15" x14ac:dyDescent="0.2">
      <c r="A19" s="2">
        <v>42969</v>
      </c>
      <c r="B19" s="3">
        <v>7.4453124999999995E-2</v>
      </c>
      <c r="C19" s="3"/>
      <c r="D19" s="3">
        <v>9.5364583333333294E-2</v>
      </c>
      <c r="E19" s="3">
        <v>-2.6953125000000001E-2</v>
      </c>
      <c r="F19" s="4"/>
      <c r="G19" s="3">
        <v>-5.3880208333333297E-2</v>
      </c>
      <c r="H19" s="3">
        <v>5.1302083333333304E-3</v>
      </c>
      <c r="I19" s="3">
        <v>7.1354166666666502E-3</v>
      </c>
      <c r="J19" s="3">
        <v>8.28124999999999E-3</v>
      </c>
      <c r="M19" s="2"/>
      <c r="N19" s="1"/>
      <c r="O19" s="1"/>
    </row>
    <row r="20" spans="1:15" x14ac:dyDescent="0.2">
      <c r="A20" s="2">
        <v>43001</v>
      </c>
      <c r="B20" s="3">
        <v>7.3020833333333299E-2</v>
      </c>
      <c r="C20" s="3"/>
      <c r="D20" s="3">
        <v>9.1927083333333298E-2</v>
      </c>
      <c r="E20" s="3">
        <v>-3.7265624999999997E-2</v>
      </c>
      <c r="F20" s="4"/>
      <c r="G20" s="3">
        <v>-6.1328124999999997E-2</v>
      </c>
      <c r="H20" s="3">
        <v>3.9843749999999897E-3</v>
      </c>
      <c r="I20" s="3">
        <v>4.8437499999999904E-3</v>
      </c>
      <c r="J20" s="3">
        <v>4.8437499999999904E-3</v>
      </c>
      <c r="M20" s="2"/>
      <c r="N20" s="1"/>
      <c r="O20" s="1"/>
    </row>
    <row r="21" spans="1:15" x14ac:dyDescent="0.2">
      <c r="A21" s="2">
        <v>43056</v>
      </c>
      <c r="B21" s="3">
        <v>7.5598958333333299E-2</v>
      </c>
      <c r="C21" s="3"/>
      <c r="D21" s="3">
        <v>9.96614583333333E-2</v>
      </c>
      <c r="E21" s="3">
        <v>-3.0390625000000001E-2</v>
      </c>
      <c r="F21" s="4"/>
      <c r="G21" s="3">
        <v>-6.1901041666666601E-2</v>
      </c>
      <c r="H21" s="3">
        <v>7.1000000000000004E-3</v>
      </c>
      <c r="I21" s="3">
        <v>7.7083333333333301E-3</v>
      </c>
      <c r="J21" s="3">
        <v>9.4270833333333203E-3</v>
      </c>
      <c r="M21" s="2"/>
      <c r="N21" s="1"/>
      <c r="O21" s="1"/>
    </row>
    <row r="22" spans="1:15" x14ac:dyDescent="0.2">
      <c r="M22" s="2"/>
      <c r="N22" s="1"/>
      <c r="O22" s="1"/>
    </row>
    <row r="23" spans="1:15" x14ac:dyDescent="0.2">
      <c r="E23" s="1"/>
      <c r="M23" s="2"/>
      <c r="N23" s="1"/>
      <c r="O23" s="1"/>
    </row>
    <row r="24" spans="1:15" x14ac:dyDescent="0.2">
      <c r="M24" s="2"/>
      <c r="N24" s="1"/>
      <c r="O24" s="1"/>
    </row>
    <row r="25" spans="1:15" x14ac:dyDescent="0.2">
      <c r="M25" s="2"/>
      <c r="N25" s="1"/>
      <c r="O25" s="1"/>
    </row>
    <row r="29" spans="1:15" ht="15" x14ac:dyDescent="0.25">
      <c r="A29" s="5" t="s">
        <v>10</v>
      </c>
      <c r="C29">
        <v>43.088782999999999</v>
      </c>
      <c r="E29" t="s">
        <v>11</v>
      </c>
      <c r="F29" s="6">
        <f>COS(RADIANS(C29))</f>
        <v>0.73029602958161943</v>
      </c>
    </row>
    <row r="30" spans="1:15" ht="15" x14ac:dyDescent="0.25">
      <c r="A30" s="5" t="s">
        <v>12</v>
      </c>
      <c r="C30">
        <v>-13.267909</v>
      </c>
      <c r="D30" t="s">
        <v>13</v>
      </c>
      <c r="E30" t="s">
        <v>14</v>
      </c>
      <c r="F30" s="6">
        <f>SIN(RADIANS(C29)*COS(RADIANS(C30)))</f>
        <v>0.66833434625407295</v>
      </c>
    </row>
    <row r="31" spans="1:15" ht="15" x14ac:dyDescent="0.25">
      <c r="A31" s="5" t="s">
        <v>15</v>
      </c>
      <c r="C31">
        <v>5.5465760000000003E-2</v>
      </c>
      <c r="D31" t="s">
        <v>16</v>
      </c>
      <c r="E31" t="s">
        <v>17</v>
      </c>
      <c r="F31" s="6">
        <f>SIN(RADIANS(C29)*SIN(RADIANS(C30)))</f>
        <v>-0.171741262577496</v>
      </c>
    </row>
    <row r="32" spans="1:15" x14ac:dyDescent="0.2">
      <c r="A32" t="s">
        <v>18</v>
      </c>
    </row>
    <row r="33" spans="2:5" ht="15" x14ac:dyDescent="0.2">
      <c r="B33" s="6"/>
      <c r="C33" s="6"/>
      <c r="D33" s="6"/>
      <c r="E33" s="6"/>
    </row>
    <row r="34" spans="2:5" ht="15" x14ac:dyDescent="0.2">
      <c r="B34" s="6"/>
      <c r="C34" s="6"/>
      <c r="D34" s="6"/>
      <c r="E34" s="6"/>
    </row>
    <row r="35" spans="2:5" ht="15" x14ac:dyDescent="0.2">
      <c r="B35" s="6"/>
      <c r="C35" s="6"/>
      <c r="D35" s="6"/>
      <c r="E35" s="6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1457-242A-4955-AD7D-EAE01AEDBA79}">
  <dimension ref="A1"/>
  <sheetViews>
    <sheetView topLeftCell="A7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m_raw</vt:lpstr>
      <vt:lpstr>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kobid panthi</dc:creator>
  <dc:description/>
  <cp:lastModifiedBy>kobid panthi</cp:lastModifiedBy>
  <cp:revision>1</cp:revision>
  <dcterms:created xsi:type="dcterms:W3CDTF">2026-02-13T00:40:25Z</dcterms:created>
  <dcterms:modified xsi:type="dcterms:W3CDTF">2026-02-27T02:50:07Z</dcterms:modified>
  <dc:language>en-AU</dc:language>
</cp:coreProperties>
</file>